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 A vs 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<sst xmlns="http://schemas.openxmlformats.org/spreadsheetml/2006/main" count="48" uniqueCount="26">
  <si>
    <t xml:space="preserve">NTEXECG — Comparativo A (NTEXECG) vs B (LuxAlgo 2 micros) · ordenado por Neto $ con NTEXECG · USD/micro</t>
  </si>
  <si>
    <t xml:space="preserve">#</t>
  </si>
  <si>
    <t xml:space="preserve">Estrategia</t>
  </si>
  <si>
    <t xml:space="preserve">Variante</t>
  </si>
  <si>
    <t xml:space="preserve">Ops (n)</t>
  </si>
  <si>
    <t xml:space="preserve">Ganadoras</t>
  </si>
  <si>
    <t xml:space="preserve">Perdedoras</t>
  </si>
  <si>
    <t xml:space="preserve">Gan. prom $</t>
  </si>
  <si>
    <t xml:space="preserve">Pérd. prom $</t>
  </si>
  <si>
    <t xml:space="preserve">PF</t>
  </si>
  <si>
    <t xml:space="preserve">Neto $</t>
  </si>
  <si>
    <t xml:space="preserve">Drawdown $</t>
  </si>
  <si>
    <t xml:space="preserve">Peor $</t>
  </si>
  <si>
    <t xml:space="preserve">GC</t>
  </si>
  <si>
    <t xml:space="preserve">A · NTEXECG</t>
  </si>
  <si>
    <t xml:space="preserve">B · LuxAlgo 2m</t>
  </si>
  <si>
    <t xml:space="preserve">NQ</t>
  </si>
  <si>
    <t xml:space="preserve">ES</t>
  </si>
  <si>
    <t xml:space="preserve">RTY</t>
  </si>
  <si>
    <t xml:space="preserve">YM</t>
  </si>
  <si>
    <t xml:space="preserve">6E</t>
  </si>
  <si>
    <t xml:space="preserve">6J</t>
  </si>
  <si>
    <t xml:space="preserve">CL</t>
  </si>
  <si>
    <t xml:space="preserve">TOTAL A</t>
  </si>
  <si>
    <t xml:space="preserve">TOTAL B</t>
  </si>
  <si>
    <t xml:space="preserve">Orden: mejor→peor por Neto $ con NTEXECG (A). A = NTEXECG (SL+escalonado+TP+filtros+ventana); B = LuxAlgo 2 micros. n=operaciones; Ganadoras/Perdedoras=P&amp;L&gt;0/&lt;0. Fuente: scripts/compare_ntexecg_vs_luxalgo.py.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</si>
</sst>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E27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761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1E2761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F1F4FB"/>
        <bgColor rgb="FFFFFFFF"/>
      </patternFill>
    </fill>
    <fill>
      <patternFill patternType="solid">
        <fgColor rgb="FFCADCFC"/>
        <bgColor rgb="FFD0D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4FB"/>
      <rgbColor rgb="FFCADCFC"/>
      <rgbColor rgb="FF660066"/>
      <rgbColor rgb="FFFF8080"/>
      <rgbColor rgb="FF0066CC"/>
      <rgbColor rgb="FFD0D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12" min="4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n">
        <v>1</v>
      </c>
      <c r="B3" s="3" t="s">
        <v>13</v>
      </c>
      <c r="C3" s="3" t="s">
        <v>14</v>
      </c>
      <c r="D3" s="4" t="n">
        <v>21</v>
      </c>
      <c r="E3" s="4" t="n">
        <v>12</v>
      </c>
      <c r="F3" s="4" t="n">
        <v>9</v>
      </c>
      <c r="G3" s="5" t="n">
        <v>1149</v>
      </c>
      <c r="H3" s="5" t="n">
        <v>-312</v>
      </c>
      <c r="I3" s="6" t="n">
        <v>4.91</v>
      </c>
      <c r="J3" s="5" t="n">
        <v>10974</v>
      </c>
      <c r="K3" s="5" t="n">
        <v>-812</v>
      </c>
      <c r="L3" s="5" t="n">
        <v>-549</v>
      </c>
    </row>
    <row r="4" customFormat="false" ht="15" hidden="false" customHeight="false" outlineLevel="0" collapsed="false">
      <c r="A4" s="7" t="n">
        <v>1</v>
      </c>
      <c r="B4" s="7" t="s">
        <v>13</v>
      </c>
      <c r="C4" s="7" t="s">
        <v>15</v>
      </c>
      <c r="D4" s="8" t="n">
        <v>107</v>
      </c>
      <c r="E4" s="8" t="n">
        <v>65</v>
      </c>
      <c r="F4" s="8" t="n">
        <v>42</v>
      </c>
      <c r="G4" s="9" t="n">
        <v>854</v>
      </c>
      <c r="H4" s="9" t="n">
        <v>-677</v>
      </c>
      <c r="I4" s="10" t="n">
        <v>1.95</v>
      </c>
      <c r="J4" s="9" t="n">
        <v>27078</v>
      </c>
      <c r="K4" s="9" t="n">
        <v>-7738</v>
      </c>
      <c r="L4" s="9" t="n">
        <v>-5878</v>
      </c>
    </row>
    <row r="5" customFormat="false" ht="15" hidden="false" customHeight="false" outlineLevel="0" collapsed="false">
      <c r="A5" s="3" t="n">
        <v>2</v>
      </c>
      <c r="B5" s="3" t="s">
        <v>16</v>
      </c>
      <c r="C5" s="3" t="s">
        <v>14</v>
      </c>
      <c r="D5" s="4" t="n">
        <v>33</v>
      </c>
      <c r="E5" s="4" t="n">
        <v>16</v>
      </c>
      <c r="F5" s="4" t="n">
        <v>17</v>
      </c>
      <c r="G5" s="5" t="n">
        <v>1131</v>
      </c>
      <c r="H5" s="5" t="n">
        <v>-523</v>
      </c>
      <c r="I5" s="6" t="n">
        <v>2.03</v>
      </c>
      <c r="J5" s="5" t="n">
        <v>9206</v>
      </c>
      <c r="K5" s="5" t="n">
        <v>-1789</v>
      </c>
      <c r="L5" s="5" t="n">
        <v>-842</v>
      </c>
    </row>
    <row r="6" customFormat="false" ht="15" hidden="false" customHeight="false" outlineLevel="0" collapsed="false">
      <c r="A6" s="7" t="n">
        <v>2</v>
      </c>
      <c r="B6" s="7" t="s">
        <v>16</v>
      </c>
      <c r="C6" s="7" t="s">
        <v>15</v>
      </c>
      <c r="D6" s="8" t="n">
        <v>65</v>
      </c>
      <c r="E6" s="8" t="n">
        <v>54</v>
      </c>
      <c r="F6" s="8" t="n">
        <v>11</v>
      </c>
      <c r="G6" s="9" t="n">
        <v>348</v>
      </c>
      <c r="H6" s="9" t="n">
        <v>-1188</v>
      </c>
      <c r="I6" s="10" t="n">
        <v>1.44</v>
      </c>
      <c r="J6" s="9" t="n">
        <v>5732</v>
      </c>
      <c r="K6" s="9" t="n">
        <v>-7177</v>
      </c>
      <c r="L6" s="9" t="n">
        <v>-6345</v>
      </c>
    </row>
    <row r="7" customFormat="false" ht="15" hidden="false" customHeight="false" outlineLevel="0" collapsed="false">
      <c r="A7" s="3" t="n">
        <v>3</v>
      </c>
      <c r="B7" s="3" t="s">
        <v>17</v>
      </c>
      <c r="C7" s="3" t="s">
        <v>14</v>
      </c>
      <c r="D7" s="4" t="n">
        <v>37</v>
      </c>
      <c r="E7" s="4" t="n">
        <v>18</v>
      </c>
      <c r="F7" s="4" t="n">
        <v>19</v>
      </c>
      <c r="G7" s="5" t="n">
        <v>566</v>
      </c>
      <c r="H7" s="5" t="n">
        <v>-224</v>
      </c>
      <c r="I7" s="6" t="n">
        <v>2.39</v>
      </c>
      <c r="J7" s="5" t="n">
        <v>5933</v>
      </c>
      <c r="K7" s="5" t="n">
        <v>-891</v>
      </c>
      <c r="L7" s="5" t="n">
        <v>-524</v>
      </c>
    </row>
    <row r="8" customFormat="false" ht="15" hidden="false" customHeight="false" outlineLevel="0" collapsed="false">
      <c r="A8" s="7" t="n">
        <v>3</v>
      </c>
      <c r="B8" s="7" t="s">
        <v>17</v>
      </c>
      <c r="C8" s="7" t="s">
        <v>15</v>
      </c>
      <c r="D8" s="8" t="n">
        <v>122</v>
      </c>
      <c r="E8" s="8" t="n">
        <v>99</v>
      </c>
      <c r="F8" s="8" t="n">
        <v>23</v>
      </c>
      <c r="G8" s="9" t="n">
        <v>156</v>
      </c>
      <c r="H8" s="9" t="n">
        <v>-390</v>
      </c>
      <c r="I8" s="10" t="n">
        <v>1.72</v>
      </c>
      <c r="J8" s="9" t="n">
        <v>6448</v>
      </c>
      <c r="K8" s="9" t="n">
        <v>-2350</v>
      </c>
      <c r="L8" s="9" t="n">
        <v>-2032</v>
      </c>
    </row>
    <row r="9" customFormat="false" ht="15" hidden="false" customHeight="false" outlineLevel="0" collapsed="false">
      <c r="A9" s="3" t="n">
        <v>4</v>
      </c>
      <c r="B9" s="3" t="s">
        <v>18</v>
      </c>
      <c r="C9" s="3" t="s">
        <v>14</v>
      </c>
      <c r="D9" s="4" t="n">
        <v>11</v>
      </c>
      <c r="E9" s="4" t="n">
        <v>10</v>
      </c>
      <c r="F9" s="4" t="n">
        <v>1</v>
      </c>
      <c r="G9" s="5" t="n">
        <v>334</v>
      </c>
      <c r="H9" s="5" t="n">
        <v>-290</v>
      </c>
      <c r="I9" s="6" t="n">
        <v>11.55</v>
      </c>
      <c r="J9" s="5" t="n">
        <v>3054</v>
      </c>
      <c r="K9" s="5" t="n">
        <v>-290</v>
      </c>
      <c r="L9" s="5" t="n">
        <v>-290</v>
      </c>
    </row>
    <row r="10" customFormat="false" ht="15" hidden="false" customHeight="false" outlineLevel="0" collapsed="false">
      <c r="A10" s="7" t="n">
        <v>4</v>
      </c>
      <c r="B10" s="7" t="s">
        <v>18</v>
      </c>
      <c r="C10" s="7" t="s">
        <v>15</v>
      </c>
      <c r="D10" s="8" t="n">
        <v>112</v>
      </c>
      <c r="E10" s="8" t="n">
        <v>97</v>
      </c>
      <c r="F10" s="8" t="n">
        <v>14</v>
      </c>
      <c r="G10" s="9" t="n">
        <v>172</v>
      </c>
      <c r="H10" s="9" t="n">
        <v>-555</v>
      </c>
      <c r="I10" s="10" t="n">
        <v>2.15</v>
      </c>
      <c r="J10" s="9" t="n">
        <v>8924</v>
      </c>
      <c r="K10" s="9" t="n">
        <v>-1493</v>
      </c>
      <c r="L10" s="9" t="n">
        <v>-1483</v>
      </c>
    </row>
    <row r="11" customFormat="false" ht="15" hidden="false" customHeight="false" outlineLevel="0" collapsed="false">
      <c r="A11" s="3" t="n">
        <v>5</v>
      </c>
      <c r="B11" s="3" t="s">
        <v>19</v>
      </c>
      <c r="C11" s="3" t="s">
        <v>14</v>
      </c>
      <c r="D11" s="4" t="n">
        <v>16</v>
      </c>
      <c r="E11" s="4" t="n">
        <v>10</v>
      </c>
      <c r="F11" s="4" t="n">
        <v>6</v>
      </c>
      <c r="G11" s="5" t="n">
        <v>521</v>
      </c>
      <c r="H11" s="5" t="n">
        <v>-552</v>
      </c>
      <c r="I11" s="6" t="n">
        <v>1.57</v>
      </c>
      <c r="J11" s="5" t="n">
        <v>1897</v>
      </c>
      <c r="K11" s="5" t="n">
        <v>-1731</v>
      </c>
      <c r="L11" s="5" t="n">
        <v>-883</v>
      </c>
    </row>
    <row r="12" customFormat="false" ht="15" hidden="false" customHeight="false" outlineLevel="0" collapsed="false">
      <c r="A12" s="7" t="n">
        <v>5</v>
      </c>
      <c r="B12" s="7" t="s">
        <v>19</v>
      </c>
      <c r="C12" s="7" t="s">
        <v>15</v>
      </c>
      <c r="D12" s="8" t="n">
        <v>48</v>
      </c>
      <c r="E12" s="8" t="n">
        <v>43</v>
      </c>
      <c r="F12" s="8" t="n">
        <v>5</v>
      </c>
      <c r="G12" s="9" t="n">
        <v>220</v>
      </c>
      <c r="H12" s="9" t="n">
        <v>-983</v>
      </c>
      <c r="I12" s="10" t="n">
        <v>1.92</v>
      </c>
      <c r="J12" s="9" t="n">
        <v>4538</v>
      </c>
      <c r="K12" s="9" t="n">
        <v>-1835</v>
      </c>
      <c r="L12" s="9" t="n">
        <v>-1835</v>
      </c>
    </row>
    <row r="13" customFormat="false" ht="15" hidden="false" customHeight="false" outlineLevel="0" collapsed="false">
      <c r="A13" s="3" t="n">
        <v>6</v>
      </c>
      <c r="B13" s="3" t="s">
        <v>20</v>
      </c>
      <c r="C13" s="3" t="s">
        <v>14</v>
      </c>
      <c r="D13" s="4" t="n">
        <v>20</v>
      </c>
      <c r="E13" s="4" t="n">
        <v>16</v>
      </c>
      <c r="F13" s="4" t="n">
        <v>4</v>
      </c>
      <c r="G13" s="5" t="n">
        <v>47</v>
      </c>
      <c r="H13" s="5" t="n">
        <v>-29</v>
      </c>
      <c r="I13" s="6" t="n">
        <v>6.52</v>
      </c>
      <c r="J13" s="5" t="n">
        <v>633</v>
      </c>
      <c r="K13" s="5" t="n">
        <v>-45</v>
      </c>
      <c r="L13" s="5" t="n">
        <v>-45</v>
      </c>
    </row>
    <row r="14" customFormat="false" ht="15" hidden="false" customHeight="false" outlineLevel="0" collapsed="false">
      <c r="A14" s="7" t="n">
        <v>6</v>
      </c>
      <c r="B14" s="7" t="s">
        <v>20</v>
      </c>
      <c r="C14" s="7" t="s">
        <v>15</v>
      </c>
      <c r="D14" s="8" t="n">
        <v>99</v>
      </c>
      <c r="E14" s="8" t="n">
        <v>84</v>
      </c>
      <c r="F14" s="8" t="n">
        <v>15</v>
      </c>
      <c r="G14" s="9" t="n">
        <v>29</v>
      </c>
      <c r="H14" s="9" t="n">
        <v>-111</v>
      </c>
      <c r="I14" s="10" t="n">
        <v>1.44</v>
      </c>
      <c r="J14" s="9" t="n">
        <v>732</v>
      </c>
      <c r="K14" s="9" t="n">
        <v>-599</v>
      </c>
      <c r="L14" s="9" t="n">
        <v>-375</v>
      </c>
    </row>
    <row r="15" customFormat="false" ht="15" hidden="false" customHeight="false" outlineLevel="0" collapsed="false">
      <c r="A15" s="3" t="n">
        <v>7</v>
      </c>
      <c r="B15" s="3" t="s">
        <v>21</v>
      </c>
      <c r="C15" s="3" t="s">
        <v>14</v>
      </c>
      <c r="D15" s="4" t="n">
        <v>45</v>
      </c>
      <c r="E15" s="4" t="n">
        <v>26</v>
      </c>
      <c r="F15" s="4" t="n">
        <v>19</v>
      </c>
      <c r="G15" s="5" t="n">
        <v>37</v>
      </c>
      <c r="H15" s="5" t="n">
        <v>-36</v>
      </c>
      <c r="I15" s="6" t="n">
        <v>1.37</v>
      </c>
      <c r="J15" s="5" t="n">
        <v>257</v>
      </c>
      <c r="K15" s="5" t="n">
        <v>-320</v>
      </c>
      <c r="L15" s="5" t="n">
        <v>-87</v>
      </c>
    </row>
    <row r="16" customFormat="false" ht="15" hidden="false" customHeight="false" outlineLevel="0" collapsed="false">
      <c r="A16" s="7" t="n">
        <v>7</v>
      </c>
      <c r="B16" s="7" t="s">
        <v>21</v>
      </c>
      <c r="C16" s="7" t="s">
        <v>15</v>
      </c>
      <c r="D16" s="8" t="n">
        <v>78</v>
      </c>
      <c r="E16" s="8" t="n">
        <v>73</v>
      </c>
      <c r="F16" s="8" t="n">
        <v>4</v>
      </c>
      <c r="G16" s="9" t="n">
        <v>14</v>
      </c>
      <c r="H16" s="9" t="n">
        <v>-64</v>
      </c>
      <c r="I16" s="10" t="n">
        <v>3.99</v>
      </c>
      <c r="J16" s="9" t="n">
        <v>766</v>
      </c>
      <c r="K16" s="9" t="n">
        <v>-135</v>
      </c>
      <c r="L16" s="9" t="n">
        <v>-135</v>
      </c>
    </row>
    <row r="17" customFormat="false" ht="15" hidden="false" customHeight="false" outlineLevel="0" collapsed="false">
      <c r="A17" s="3" t="n">
        <v>8</v>
      </c>
      <c r="B17" s="3" t="s">
        <v>22</v>
      </c>
      <c r="C17" s="3" t="s">
        <v>14</v>
      </c>
      <c r="D17" s="4" t="n">
        <v>47</v>
      </c>
      <c r="E17" s="4" t="n">
        <v>24</v>
      </c>
      <c r="F17" s="4" t="n">
        <v>23</v>
      </c>
      <c r="G17" s="5" t="n">
        <v>452</v>
      </c>
      <c r="H17" s="5" t="n">
        <v>-492</v>
      </c>
      <c r="I17" s="6" t="n">
        <v>0.96</v>
      </c>
      <c r="J17" s="5" t="n">
        <v>-468</v>
      </c>
      <c r="K17" s="5" t="n">
        <v>-2435</v>
      </c>
      <c r="L17" s="5" t="n">
        <v>-1669</v>
      </c>
    </row>
    <row r="18" customFormat="false" ht="15" hidden="false" customHeight="false" outlineLevel="0" collapsed="false">
      <c r="A18" s="7" t="n">
        <v>8</v>
      </c>
      <c r="B18" s="7" t="s">
        <v>22</v>
      </c>
      <c r="C18" s="7" t="s">
        <v>15</v>
      </c>
      <c r="D18" s="8" t="n">
        <v>105</v>
      </c>
      <c r="E18" s="8" t="n">
        <v>82</v>
      </c>
      <c r="F18" s="8" t="n">
        <v>23</v>
      </c>
      <c r="G18" s="9" t="n">
        <v>196</v>
      </c>
      <c r="H18" s="9" t="n">
        <v>-521</v>
      </c>
      <c r="I18" s="10" t="n">
        <v>1.34</v>
      </c>
      <c r="J18" s="9" t="n">
        <v>4090</v>
      </c>
      <c r="K18" s="9" t="n">
        <v>-4474</v>
      </c>
      <c r="L18" s="9" t="n">
        <v>-4166</v>
      </c>
    </row>
    <row r="19" customFormat="false" ht="15" hidden="false" customHeight="false" outlineLevel="0" collapsed="false">
      <c r="A19" s="11"/>
      <c r="B19" s="11" t="s">
        <v>23</v>
      </c>
      <c r="C19" s="11"/>
      <c r="D19" s="12" t="n">
        <f aca="false">SUMIF($C$3:$C$18,"A*",D3:D18)</f>
        <v>230</v>
      </c>
      <c r="E19" s="12" t="n">
        <f aca="false">SUMIF($C$3:$C$18,"A*",E3:E18)</f>
        <v>132</v>
      </c>
      <c r="F19" s="12" t="n">
        <f aca="false">SUMIF($C$3:$C$18,"A*",F3:F18)</f>
        <v>98</v>
      </c>
      <c r="G19" s="12"/>
      <c r="H19" s="12"/>
      <c r="I19" s="12"/>
      <c r="J19" s="13" t="n">
        <f aca="false">SUMIF($C$3:$C$18,"A*",J3:J18)</f>
        <v>31486</v>
      </c>
      <c r="K19" s="12"/>
      <c r="L19" s="13" t="n">
        <f aca="false">SUMIF($C$3:$C$18,"A*",L3:L18)</f>
        <v>-4889</v>
      </c>
    </row>
    <row r="20" customFormat="false" ht="15" hidden="false" customHeight="false" outlineLevel="0" collapsed="false">
      <c r="A20" s="11"/>
      <c r="B20" s="11" t="s">
        <v>24</v>
      </c>
      <c r="C20" s="11"/>
      <c r="D20" s="12" t="n">
        <f aca="false">SUMIF($C$3:$C$18,"B*",D3:D18)</f>
        <v>736</v>
      </c>
      <c r="E20" s="12" t="n">
        <f aca="false">SUMIF($C$3:$C$18,"B*",E3:E18)</f>
        <v>597</v>
      </c>
      <c r="F20" s="12" t="n">
        <f aca="false">SUMIF($C$3:$C$18,"B*",F3:F18)</f>
        <v>137</v>
      </c>
      <c r="G20" s="12"/>
      <c r="H20" s="12"/>
      <c r="I20" s="12"/>
      <c r="J20" s="13" t="n">
        <f aca="false">SUMIF($C$3:$C$18,"B*",J3:J18)</f>
        <v>58308</v>
      </c>
      <c r="K20" s="12"/>
      <c r="L20" s="13" t="n">
        <f aca="false">SUMIF($C$3:$C$18,"B*",L3:L18)</f>
        <v>-22249</v>
      </c>
    </row>
    <row r="22" customFormat="false" ht="15" hidden="false" customHeight="false" outlineLevel="0" collapsed="false">
      <c r="A22" s="14" t="s">
        <v>25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</sheetData>
  <mergeCells count="2">
    <mergeCell ref="A1:L1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2026-06-29T14:24:00Z</dcterms:created>
  <dc:creator>openpyxl</dc:creator>
  <dc:description/>
  <dc:language>en-US</dc:language>
  <cp:lastModifiedBy/>
  <dcterms:modified xsi:type="dcterms:W3CDTF">2026-06-29T14:24:00Z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